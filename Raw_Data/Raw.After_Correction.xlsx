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84582\Downloads\Portfolio\Thanh toán gốc\"/>
    </mc:Choice>
  </mc:AlternateContent>
  <xr:revisionPtr revIDLastSave="0" documentId="8_{30C0A448-39DB-42A1-81BB-C2C060798AA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P" sheetId="1" r:id="rId1"/>
    <sheet name="PP" sheetId="2" r:id="rId2"/>
    <sheet name="VW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3" l="1"/>
  <c r="G4" i="3"/>
  <c r="E4" i="3"/>
  <c r="M4" i="3" s="1"/>
  <c r="E5" i="2"/>
  <c r="F5" i="2"/>
  <c r="G5" i="2"/>
  <c r="H5" i="2"/>
  <c r="I5" i="2"/>
  <c r="J5" i="2"/>
  <c r="K5" i="2"/>
  <c r="D5" i="2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E5" i="3"/>
  <c r="E6" i="3"/>
  <c r="M6" i="3" s="1"/>
  <c r="E7" i="3"/>
  <c r="M7" i="3" s="1"/>
  <c r="E8" i="3"/>
  <c r="M8" i="3" s="1"/>
  <c r="E9" i="3"/>
  <c r="M9" i="3" s="1"/>
  <c r="E10" i="3"/>
  <c r="M10" i="3" s="1"/>
  <c r="E11" i="3"/>
  <c r="M11" i="3" s="1"/>
  <c r="E12" i="3"/>
  <c r="M12" i="3" s="1"/>
  <c r="E13" i="3"/>
  <c r="M13" i="3" s="1"/>
  <c r="E14" i="3"/>
  <c r="M14" i="3" s="1"/>
  <c r="E15" i="3"/>
  <c r="E16" i="3"/>
  <c r="M16" i="3" s="1"/>
  <c r="E17" i="3"/>
  <c r="M17" i="3" s="1"/>
  <c r="E18" i="2"/>
  <c r="F18" i="2" s="1"/>
  <c r="H15" i="1"/>
  <c r="E17" i="2"/>
  <c r="F17" i="2" s="1"/>
  <c r="E16" i="2"/>
  <c r="E15" i="2"/>
  <c r="F15" i="2" s="1"/>
  <c r="E14" i="2"/>
  <c r="F14" i="2" s="1"/>
  <c r="E13" i="2"/>
  <c r="F13" i="2" s="1"/>
  <c r="E12" i="2"/>
  <c r="F12" i="2" s="1"/>
  <c r="E11" i="2"/>
  <c r="F11" i="2" s="1"/>
  <c r="K10" i="2"/>
  <c r="G9" i="2"/>
  <c r="E9" i="2"/>
  <c r="F9" i="2" s="1"/>
  <c r="G8" i="2"/>
  <c r="E8" i="2"/>
  <c r="F8" i="2" s="1"/>
  <c r="G7" i="2"/>
  <c r="E7" i="2"/>
  <c r="F7" i="2" s="1"/>
  <c r="G6" i="2"/>
  <c r="E6" i="2"/>
  <c r="F6" i="2" s="1"/>
  <c r="K3" i="2"/>
  <c r="J3" i="2"/>
  <c r="I3" i="2"/>
  <c r="H3" i="2"/>
  <c r="G3" i="2"/>
  <c r="G19" i="2" s="1"/>
  <c r="F3" i="2"/>
  <c r="E3" i="2"/>
  <c r="D3" i="2"/>
  <c r="D19" i="2" s="1"/>
  <c r="H4" i="1"/>
  <c r="H5" i="1"/>
  <c r="H6" i="1"/>
  <c r="H7" i="1"/>
  <c r="H8" i="1"/>
  <c r="H9" i="1"/>
  <c r="H10" i="1"/>
  <c r="H11" i="1"/>
  <c r="H12" i="1"/>
  <c r="H13" i="1"/>
  <c r="H14" i="1"/>
  <c r="H3" i="1"/>
  <c r="H19" i="2" l="1"/>
  <c r="M15" i="3"/>
  <c r="M5" i="3"/>
  <c r="J18" i="2"/>
  <c r="I18" i="2"/>
  <c r="K18" i="2" s="1"/>
  <c r="J17" i="2"/>
  <c r="I17" i="2"/>
  <c r="F16" i="2"/>
  <c r="E19" i="2"/>
  <c r="I15" i="2"/>
  <c r="J15" i="2"/>
  <c r="K15" i="2"/>
  <c r="I14" i="2"/>
  <c r="J14" i="2"/>
  <c r="K14" i="2"/>
  <c r="I13" i="2"/>
  <c r="J13" i="2"/>
  <c r="I12" i="2"/>
  <c r="J12" i="2"/>
  <c r="K12" i="2"/>
  <c r="I11" i="2"/>
  <c r="J11" i="2"/>
  <c r="K11" i="2"/>
  <c r="I9" i="2"/>
  <c r="J9" i="2"/>
  <c r="I8" i="2"/>
  <c r="J8" i="2"/>
  <c r="I7" i="2"/>
  <c r="K7" i="2" s="1"/>
  <c r="J7" i="2"/>
  <c r="I6" i="2"/>
  <c r="J6" i="2"/>
  <c r="K6" i="2"/>
  <c r="F19" i="2"/>
  <c r="K13" i="2" l="1"/>
  <c r="K9" i="2"/>
  <c r="K17" i="2"/>
  <c r="K8" i="2"/>
  <c r="I16" i="2"/>
  <c r="I19" i="2" s="1"/>
  <c r="J16" i="2"/>
  <c r="J19" i="2" s="1"/>
  <c r="K16" i="2" l="1"/>
  <c r="K19" i="2" s="1"/>
</calcChain>
</file>

<file path=xl/sharedStrings.xml><?xml version="1.0" encoding="utf-8"?>
<sst xmlns="http://schemas.openxmlformats.org/spreadsheetml/2006/main" count="97" uniqueCount="49">
  <si>
    <t xml:space="preserve">REINFORCED CONCRETE WORKS FOR MALL AREA </t>
  </si>
  <si>
    <t>FOUNDATION</t>
  </si>
  <si>
    <t xml:space="preserve">STRUCTURAL WORK </t>
  </si>
  <si>
    <t>REINFORCED CONCRETE WORKS FOR EQUIPMENT PAD</t>
  </si>
  <si>
    <t xml:space="preserve">EQUIPMENT PAD </t>
  </si>
  <si>
    <t xml:space="preserve">MISCELLANEOUS </t>
  </si>
  <si>
    <t>MISCELLANEOUS</t>
  </si>
  <si>
    <t xml:space="preserve">ROOF DRAINAGE </t>
  </si>
  <si>
    <t>REBAR WORK FOR POST TENSION WORKS</t>
  </si>
  <si>
    <t>EXTERNAL SCAFOLDING WORKS</t>
  </si>
  <si>
    <t>TOTAL</t>
  </si>
  <si>
    <t>Date</t>
  </si>
  <si>
    <t>Advance Payment Deductions</t>
  </si>
  <si>
    <t>Completed Work Value</t>
  </si>
  <si>
    <t>Deductions</t>
  </si>
  <si>
    <t>Retention Value</t>
  </si>
  <si>
    <t>Net Payable</t>
  </si>
  <si>
    <t>Application No.</t>
  </si>
  <si>
    <t>Particulars</t>
  </si>
  <si>
    <t>Unit of Measure</t>
  </si>
  <si>
    <t>Total Approved Value (Incl. VAT)</t>
  </si>
  <si>
    <t>Retainage</t>
  </si>
  <si>
    <t>Closeout Retention</t>
  </si>
  <si>
    <t>Advance Payment Recovery</t>
  </si>
  <si>
    <t>Advance Payment Recovery 
(Incl. VAT)</t>
  </si>
  <si>
    <t>Advance Payment</t>
  </si>
  <si>
    <t>Contract Advance</t>
  </si>
  <si>
    <t>Progress Payments</t>
  </si>
  <si>
    <t>Payment No. 01</t>
  </si>
  <si>
    <t>Payment No. 02</t>
  </si>
  <si>
    <t>Payment No. 03</t>
  </si>
  <si>
    <t>Payment No. 04</t>
  </si>
  <si>
    <t>Payment No. 05</t>
  </si>
  <si>
    <t>Payment No. 06</t>
  </si>
  <si>
    <t>Payment No. 07</t>
  </si>
  <si>
    <t>Payment No. 08</t>
  </si>
  <si>
    <t>Payment No. 09</t>
  </si>
  <si>
    <t>Payment No. 10</t>
  </si>
  <si>
    <t>Payment No. 11</t>
  </si>
  <si>
    <t>Payment No. 12</t>
  </si>
  <si>
    <t>Payment No. 13</t>
  </si>
  <si>
    <t>VND</t>
  </si>
  <si>
    <t>Work Approved (Excl. VAT)</t>
  </si>
  <si>
    <t>Total</t>
  </si>
  <si>
    <t>Task Description</t>
  </si>
  <si>
    <t>Contract Value</t>
  </si>
  <si>
    <t>Payment Amount</t>
  </si>
  <si>
    <t>Summary of Payment</t>
  </si>
  <si>
    <t>Value of 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</si>
</sst>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_(* #,##0.000_);_(* \(#,##0.000\);_(* &quot;-&quot;??_);_(@_)"/>
    <numFmt numFmtId="166" formatCode="_(* #,##0.00_);_(* \(#,##0.00\);_(* &quot;-&quot;??_);_(@_)"/>
    <numFmt numFmtId="167" formatCode="_(* #,##0_);_(* \(#,##0\);_(* &quot;-&quot;??_);_(@_)"/>
    <numFmt numFmtId="168" formatCode="_-* #,##0.000_-;\-* #,##0.000_-;_-* &quot;-&quot;??_-;_-@_-"/>
    <numFmt numFmtId="169" formatCode="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.VnTime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5" fillId="0" borderId="1" xfId="0" applyFont="1" applyBorder="1"/>
    <xf numFmtId="14" fontId="5" fillId="0" borderId="1" xfId="0" applyNumberFormat="1" applyFont="1" applyBorder="1"/>
    <xf numFmtId="0" fontId="5" fillId="0" borderId="0" xfId="0" applyFont="1"/>
    <xf numFmtId="164" fontId="5" fillId="0" borderId="1" xfId="1" applyNumberFormat="1" applyFont="1" applyBorder="1"/>
    <xf numFmtId="0" fontId="5" fillId="0" borderId="0" xfId="0" applyFont="1" applyAlignment="1">
      <alignment horizontal="center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5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67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168" fontId="3" fillId="4" borderId="1" xfId="3" applyNumberFormat="1" applyFont="1" applyFill="1" applyBorder="1" applyAlignment="1" applyProtection="1">
      <alignment horizontal="center" vertical="center" wrapText="1"/>
      <protection locked="0"/>
    </xf>
    <xf numFmtId="165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167" fontId="3" fillId="4" borderId="1" xfId="2" applyNumberFormat="1" applyFont="1" applyFill="1" applyBorder="1" applyAlignment="1" applyProtection="1">
      <alignment horizontal="center" vertical="center" wrapText="1"/>
      <protection locked="0"/>
    </xf>
    <xf numFmtId="1" fontId="6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168" fontId="6" fillId="3" borderId="1" xfId="2" applyNumberFormat="1" applyFont="1" applyFill="1" applyBorder="1" applyAlignment="1">
      <alignment horizontal="right" vertical="center" wrapText="1"/>
    </xf>
    <xf numFmtId="167" fontId="6" fillId="3" borderId="1" xfId="1" applyNumberFormat="1" applyFont="1" applyFill="1" applyBorder="1" applyAlignment="1">
      <alignment horizontal="right" vertical="center" wrapText="1"/>
    </xf>
    <xf numFmtId="165" fontId="6" fillId="3" borderId="1" xfId="2" applyNumberFormat="1" applyFont="1" applyFill="1" applyBorder="1" applyAlignment="1">
      <alignment horizontal="right" vertical="center" wrapText="1"/>
    </xf>
    <xf numFmtId="167" fontId="6" fillId="3" borderId="1" xfId="2" applyNumberFormat="1" applyFont="1" applyFill="1" applyBorder="1" applyAlignment="1">
      <alignment horizontal="right" vertical="center" wrapText="1"/>
    </xf>
    <xf numFmtId="164" fontId="6" fillId="3" borderId="1" xfId="2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/>
    </xf>
    <xf numFmtId="164" fontId="5" fillId="0" borderId="0" xfId="0" applyNumberFormat="1" applyFont="1"/>
    <xf numFmtId="14" fontId="5" fillId="0" borderId="2" xfId="0" applyNumberFormat="1" applyFont="1" applyBorder="1"/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left"/>
    </xf>
    <xf numFmtId="1" fontId="6" fillId="3" borderId="1" xfId="0" applyNumberFormat="1" applyFont="1" applyFill="1" applyBorder="1" applyAlignment="1">
      <alignment horizontal="left" vertical="center" wrapText="1"/>
    </xf>
    <xf numFmtId="1" fontId="6" fillId="3" borderId="2" xfId="0" applyNumberFormat="1" applyFont="1" applyFill="1" applyBorder="1" applyAlignment="1">
      <alignment horizontal="left" vertical="center" wrapText="1"/>
    </xf>
    <xf numFmtId="164" fontId="5" fillId="2" borderId="1" xfId="1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>
      <alignment horizontal="right" vertical="center" wrapText="1"/>
    </xf>
    <xf numFmtId="169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vertical="center" wrapText="1"/>
    </xf>
    <xf numFmtId="164" fontId="5" fillId="7" borderId="1" xfId="1" applyNumberFormat="1" applyFont="1" applyFill="1" applyBorder="1"/>
    <xf numFmtId="0" fontId="9" fillId="0" borderId="1" xfId="0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0" fontId="8" fillId="8" borderId="0" xfId="0" applyFont="1" applyFill="1" applyAlignment="1">
      <alignment horizontal="center"/>
    </xf>
    <xf numFmtId="169" fontId="3" fillId="6" borderId="3" xfId="0" applyNumberFormat="1" applyFont="1" applyFill="1" applyBorder="1" applyAlignment="1">
      <alignment horizontal="center" vertical="center" wrapText="1"/>
    </xf>
    <xf numFmtId="169" fontId="3" fillId="6" borderId="4" xfId="0" applyNumberFormat="1" applyFont="1" applyFill="1" applyBorder="1" applyAlignment="1">
      <alignment horizontal="center" vertical="center" wrapText="1"/>
    </xf>
    <xf numFmtId="164" fontId="5" fillId="9" borderId="1" xfId="1" applyNumberFormat="1" applyFont="1" applyFill="1" applyBorder="1"/>
  </cellXfs>
  <cellStyles count="4">
    <cellStyle name="Comma" xfId="1" builtinId="3"/>
    <cellStyle name="Comma 2 2" xfId="3" xr:uid="{DA60644E-07D6-427E-B21A-409D99527299}"/>
    <cellStyle name="Comma 7" xfId="2" xr:uid="{4A41311E-0D66-4AFB-B3F3-3A5E203873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="120" zoomScaleNormal="120" workbookViewId="0">
      <selection activeCell="A2" sqref="A2:H2"/>
    </sheetView>
  </sheetViews>
  <sheetFormatPr defaultRowHeight="15.6"/>
  <cols>
    <col min="1" max="1" width="12.21875" style="3" customWidth="1"/>
    <col min="2" max="2" width="15" style="3" bestFit="1" customWidth="1"/>
    <col min="3" max="3" width="11.21875" style="3" bestFit="1" customWidth="1"/>
    <col min="4" max="4" width="17.21875" style="3" bestFit="1" customWidth="1"/>
    <col min="5" max="5" width="18.109375" style="3" bestFit="1" customWidth="1"/>
    <col min="6" max="6" width="13.77734375" style="3" bestFit="1" customWidth="1"/>
    <col min="7" max="7" width="16.33203125" style="3" bestFit="1" customWidth="1"/>
    <col min="8" max="8" width="15.44140625" style="3" bestFit="1" customWidth="1"/>
    <col min="9" max="9" width="12.44140625" style="3" bestFit="1" customWidth="1"/>
    <col min="10" max="16384" width="8.88671875" style="3"/>
  </cols>
  <sheetData>
    <row r="1" spans="1:9" ht="17.399999999999999">
      <c r="A1" s="38" t="s">
        <v>47</v>
      </c>
      <c r="B1" s="38"/>
      <c r="C1" s="38"/>
      <c r="D1" s="38"/>
      <c r="E1" s="38"/>
      <c r="F1" s="38"/>
      <c r="G1" s="38"/>
      <c r="H1" s="38"/>
    </row>
    <row r="2" spans="1:9" ht="31.2">
      <c r="A2" s="34" t="s">
        <v>17</v>
      </c>
      <c r="B2" s="35" t="s">
        <v>18</v>
      </c>
      <c r="C2" s="34" t="s">
        <v>11</v>
      </c>
      <c r="D2" s="34" t="s">
        <v>13</v>
      </c>
      <c r="E2" s="34" t="s">
        <v>12</v>
      </c>
      <c r="F2" s="34" t="s">
        <v>14</v>
      </c>
      <c r="G2" s="34" t="s">
        <v>15</v>
      </c>
      <c r="H2" s="34" t="s">
        <v>16</v>
      </c>
    </row>
    <row r="3" spans="1:9">
      <c r="A3" s="19">
        <v>1</v>
      </c>
      <c r="B3" s="12" t="s">
        <v>28</v>
      </c>
      <c r="C3" s="2">
        <v>45775</v>
      </c>
      <c r="D3" s="4">
        <v>4870751666</v>
      </c>
      <c r="E3" s="4">
        <v>563744406</v>
      </c>
      <c r="F3" s="4">
        <v>0</v>
      </c>
      <c r="G3" s="4">
        <v>243537583</v>
      </c>
      <c r="H3" s="4">
        <f>D3-E3-F3-G3</f>
        <v>4063469677</v>
      </c>
    </row>
    <row r="4" spans="1:9">
      <c r="A4" s="19">
        <v>2</v>
      </c>
      <c r="B4" s="12" t="s">
        <v>29</v>
      </c>
      <c r="C4" s="2">
        <v>45805</v>
      </c>
      <c r="D4" s="4">
        <v>5963140758</v>
      </c>
      <c r="E4" s="4">
        <v>0</v>
      </c>
      <c r="F4" s="4">
        <v>690178329</v>
      </c>
      <c r="G4" s="4">
        <v>298157038</v>
      </c>
      <c r="H4" s="4">
        <f t="shared" ref="H4:H15" si="0">D4-E4-F4-G4</f>
        <v>4974805391</v>
      </c>
    </row>
    <row r="5" spans="1:9">
      <c r="A5" s="19">
        <v>3</v>
      </c>
      <c r="B5" s="12" t="s">
        <v>30</v>
      </c>
      <c r="C5" s="2">
        <v>45834</v>
      </c>
      <c r="D5" s="4">
        <v>6823623492</v>
      </c>
      <c r="E5" s="4">
        <v>789771238</v>
      </c>
      <c r="F5" s="4">
        <v>0</v>
      </c>
      <c r="G5" s="4">
        <v>341181175</v>
      </c>
      <c r="H5" s="4">
        <f t="shared" si="0"/>
        <v>5692671079</v>
      </c>
    </row>
    <row r="6" spans="1:9">
      <c r="A6" s="19">
        <v>4</v>
      </c>
      <c r="B6" s="12" t="s">
        <v>31</v>
      </c>
      <c r="C6" s="2">
        <v>45864</v>
      </c>
      <c r="D6" s="4">
        <v>6925777984</v>
      </c>
      <c r="E6" s="4">
        <v>801594674</v>
      </c>
      <c r="F6" s="4">
        <v>0</v>
      </c>
      <c r="G6" s="4">
        <v>346288889</v>
      </c>
      <c r="H6" s="4">
        <f t="shared" si="0"/>
        <v>5777894421</v>
      </c>
    </row>
    <row r="7" spans="1:9">
      <c r="A7" s="19">
        <v>5</v>
      </c>
      <c r="B7" s="12" t="s">
        <v>32</v>
      </c>
      <c r="C7" s="2">
        <v>45895</v>
      </c>
      <c r="D7" s="4">
        <v>4480207079</v>
      </c>
      <c r="E7" s="4">
        <v>447926933</v>
      </c>
      <c r="F7" s="4">
        <v>116032812</v>
      </c>
      <c r="G7" s="4">
        <v>224010354</v>
      </c>
      <c r="H7" s="4">
        <f t="shared" si="0"/>
        <v>3692236980</v>
      </c>
    </row>
    <row r="8" spans="1:9">
      <c r="A8" s="19">
        <v>6</v>
      </c>
      <c r="B8" s="12" t="s">
        <v>33</v>
      </c>
      <c r="C8" s="2">
        <v>45926</v>
      </c>
      <c r="D8" s="4">
        <v>4447998989</v>
      </c>
      <c r="E8" s="4">
        <v>0</v>
      </c>
      <c r="F8" s="4">
        <v>30545535</v>
      </c>
      <c r="G8" s="4">
        <v>222399949</v>
      </c>
      <c r="H8" s="4">
        <f t="shared" si="0"/>
        <v>4195053505</v>
      </c>
    </row>
    <row r="9" spans="1:9">
      <c r="A9" s="19">
        <v>7</v>
      </c>
      <c r="B9" s="12" t="s">
        <v>34</v>
      </c>
      <c r="C9" s="2">
        <v>45956</v>
      </c>
      <c r="D9" s="4">
        <v>6911751721</v>
      </c>
      <c r="E9" s="4">
        <v>0</v>
      </c>
      <c r="F9" s="4">
        <v>41918121</v>
      </c>
      <c r="G9" s="4">
        <v>345587586</v>
      </c>
      <c r="H9" s="4">
        <f t="shared" si="0"/>
        <v>6524246014</v>
      </c>
    </row>
    <row r="10" spans="1:9">
      <c r="A10" s="19">
        <v>8</v>
      </c>
      <c r="B10" s="12" t="s">
        <v>35</v>
      </c>
      <c r="C10" s="2">
        <v>45991</v>
      </c>
      <c r="D10" s="4">
        <v>5249864772</v>
      </c>
      <c r="E10" s="4">
        <v>0</v>
      </c>
      <c r="F10" s="4">
        <v>43338456</v>
      </c>
      <c r="G10" s="4">
        <v>262493239</v>
      </c>
      <c r="H10" s="4">
        <f t="shared" si="0"/>
        <v>4944033077</v>
      </c>
    </row>
    <row r="11" spans="1:9">
      <c r="A11" s="19">
        <v>9</v>
      </c>
      <c r="B11" s="12" t="s">
        <v>36</v>
      </c>
      <c r="C11" s="2">
        <v>46017</v>
      </c>
      <c r="D11" s="4">
        <v>10291131272</v>
      </c>
      <c r="E11" s="4">
        <v>0</v>
      </c>
      <c r="F11" s="4">
        <v>63404996</v>
      </c>
      <c r="G11" s="4">
        <v>514556564</v>
      </c>
      <c r="H11" s="4">
        <f t="shared" si="0"/>
        <v>9713169712</v>
      </c>
      <c r="I11" s="20"/>
    </row>
    <row r="12" spans="1:9">
      <c r="A12" s="19">
        <v>10</v>
      </c>
      <c r="B12" s="12" t="s">
        <v>37</v>
      </c>
      <c r="C12" s="2">
        <v>46059</v>
      </c>
      <c r="D12" s="4">
        <v>5861275738</v>
      </c>
      <c r="E12" s="4">
        <v>0</v>
      </c>
      <c r="F12" s="4">
        <v>266678719</v>
      </c>
      <c r="G12" s="4">
        <v>293063787</v>
      </c>
      <c r="H12" s="4">
        <f t="shared" si="0"/>
        <v>5301533232</v>
      </c>
      <c r="I12" s="20"/>
    </row>
    <row r="13" spans="1:9">
      <c r="A13" s="19">
        <v>11</v>
      </c>
      <c r="B13" s="12" t="s">
        <v>38</v>
      </c>
      <c r="C13" s="2">
        <v>46093</v>
      </c>
      <c r="D13" s="4">
        <v>1849606040</v>
      </c>
      <c r="E13" s="4">
        <v>0</v>
      </c>
      <c r="F13" s="4">
        <v>39019533</v>
      </c>
      <c r="G13" s="4">
        <v>92480302</v>
      </c>
      <c r="H13" s="4">
        <f t="shared" si="0"/>
        <v>1718106205</v>
      </c>
      <c r="I13" s="20"/>
    </row>
    <row r="14" spans="1:9">
      <c r="A14" s="19">
        <v>12</v>
      </c>
      <c r="B14" s="12" t="s">
        <v>39</v>
      </c>
      <c r="C14" s="2">
        <v>46107</v>
      </c>
      <c r="D14" s="4">
        <v>707355169</v>
      </c>
      <c r="E14" s="4">
        <v>0</v>
      </c>
      <c r="F14" s="4">
        <v>43915321</v>
      </c>
      <c r="G14" s="4">
        <v>35367758</v>
      </c>
      <c r="H14" s="4">
        <f t="shared" si="0"/>
        <v>628072090</v>
      </c>
      <c r="I14" s="20"/>
    </row>
    <row r="15" spans="1:9">
      <c r="A15" s="19">
        <v>13</v>
      </c>
      <c r="B15" s="12" t="s">
        <v>40</v>
      </c>
      <c r="C15" s="2">
        <v>46213</v>
      </c>
      <c r="D15" s="4">
        <v>1260667390</v>
      </c>
      <c r="E15" s="4">
        <v>0</v>
      </c>
      <c r="F15" s="4">
        <v>71830857</v>
      </c>
      <c r="G15" s="4">
        <v>63033370</v>
      </c>
      <c r="H15" s="4">
        <f t="shared" si="0"/>
        <v>1125803163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7683-CC91-4C68-8E9E-A0ABEBBDAFBB}">
  <dimension ref="A1:K21"/>
  <sheetViews>
    <sheetView zoomScale="110" zoomScaleNormal="110" workbookViewId="0">
      <selection activeCell="K10" sqref="K10"/>
    </sheetView>
  </sheetViews>
  <sheetFormatPr defaultRowHeight="15.6"/>
  <cols>
    <col min="1" max="1" width="11.21875" style="3" bestFit="1" customWidth="1"/>
    <col min="2" max="2" width="19.21875" style="3" bestFit="1" customWidth="1"/>
    <col min="3" max="3" width="8.109375" style="3" bestFit="1" customWidth="1"/>
    <col min="4" max="4" width="17.109375" style="3" bestFit="1" customWidth="1"/>
    <col min="5" max="5" width="17.88671875" style="3" bestFit="1" customWidth="1"/>
    <col min="6" max="6" width="18.77734375" style="3" bestFit="1" customWidth="1"/>
    <col min="7" max="7" width="15.109375" style="3" bestFit="1" customWidth="1"/>
    <col min="8" max="8" width="13.44140625" style="3" bestFit="1" customWidth="1"/>
    <col min="9" max="9" width="15.109375" style="3" bestFit="1" customWidth="1"/>
    <col min="10" max="10" width="10.21875" style="3" bestFit="1" customWidth="1"/>
    <col min="11" max="11" width="16.21875" style="3" bestFit="1" customWidth="1"/>
    <col min="12" max="12" width="11.21875" style="3" bestFit="1" customWidth="1"/>
    <col min="13" max="16384" width="8.88671875" style="3"/>
  </cols>
  <sheetData>
    <row r="1" spans="1:11" ht="17.399999999999999">
      <c r="A1" s="38" t="s">
        <v>27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s="5" customFormat="1" ht="46.8">
      <c r="A2" s="6" t="s">
        <v>11</v>
      </c>
      <c r="B2" s="6" t="s">
        <v>18</v>
      </c>
      <c r="C2" s="7" t="s">
        <v>19</v>
      </c>
      <c r="D2" s="10" t="s">
        <v>42</v>
      </c>
      <c r="E2" s="8" t="s">
        <v>20</v>
      </c>
      <c r="F2" s="8" t="s">
        <v>24</v>
      </c>
      <c r="G2" s="6" t="s">
        <v>23</v>
      </c>
      <c r="H2" s="6" t="s">
        <v>14</v>
      </c>
      <c r="I2" s="9" t="s">
        <v>21</v>
      </c>
      <c r="J2" s="11" t="s">
        <v>22</v>
      </c>
      <c r="K2" s="9" t="s">
        <v>16</v>
      </c>
    </row>
    <row r="3" spans="1:11">
      <c r="A3" s="1"/>
      <c r="B3" s="27" t="s">
        <v>25</v>
      </c>
      <c r="C3" s="28" t="s">
        <v>41</v>
      </c>
      <c r="D3" s="29">
        <f t="shared" ref="D3:K3" si="0">SUBTOTAL(9,D4)</f>
        <v>0</v>
      </c>
      <c r="E3" s="29">
        <f t="shared" si="0"/>
        <v>0</v>
      </c>
      <c r="F3" s="29">
        <f t="shared" si="0"/>
        <v>0</v>
      </c>
      <c r="G3" s="29">
        <f t="shared" si="0"/>
        <v>0</v>
      </c>
      <c r="H3" s="29">
        <f t="shared" si="0"/>
        <v>0</v>
      </c>
      <c r="I3" s="29">
        <f t="shared" si="0"/>
        <v>0</v>
      </c>
      <c r="J3" s="29">
        <f t="shared" si="0"/>
        <v>0</v>
      </c>
      <c r="K3" s="29">
        <f t="shared" si="0"/>
        <v>3293215580</v>
      </c>
    </row>
    <row r="4" spans="1:11">
      <c r="A4" s="1"/>
      <c r="B4" s="12" t="s">
        <v>26</v>
      </c>
      <c r="C4" s="13" t="s">
        <v>41</v>
      </c>
      <c r="D4" s="14"/>
      <c r="E4" s="15"/>
      <c r="F4" s="15"/>
      <c r="G4" s="16"/>
      <c r="H4" s="16"/>
      <c r="I4" s="15"/>
      <c r="J4" s="17"/>
      <c r="K4" s="17">
        <v>3293215580</v>
      </c>
    </row>
    <row r="5" spans="1:11">
      <c r="A5" s="1"/>
      <c r="B5" s="27" t="s">
        <v>27</v>
      </c>
      <c r="C5" s="28" t="s">
        <v>41</v>
      </c>
      <c r="D5" s="29">
        <f>SUBTOTAL(9,D6:D18)</f>
        <v>60780696361</v>
      </c>
      <c r="E5" s="29">
        <f t="shared" ref="E5:K5" si="1">SUBTOTAL(9,E6:E18)</f>
        <v>4862455709</v>
      </c>
      <c r="F5" s="29">
        <f t="shared" si="1"/>
        <v>65643152070</v>
      </c>
      <c r="G5" s="29">
        <f t="shared" si="1"/>
        <v>3293215580</v>
      </c>
      <c r="H5" s="29">
        <f t="shared" si="1"/>
        <v>716684351.11814988</v>
      </c>
      <c r="I5" s="29">
        <f t="shared" si="1"/>
        <v>3282157604</v>
      </c>
      <c r="J5" s="29">
        <f t="shared" si="1"/>
        <v>0</v>
      </c>
      <c r="K5" s="29">
        <f t="shared" si="1"/>
        <v>58351094534.881844</v>
      </c>
    </row>
    <row r="6" spans="1:11">
      <c r="A6" s="2">
        <v>45775</v>
      </c>
      <c r="B6" s="12" t="s">
        <v>28</v>
      </c>
      <c r="C6" s="13" t="s">
        <v>41</v>
      </c>
      <c r="D6" s="18">
        <v>4509955246</v>
      </c>
      <c r="E6" s="15">
        <f>ROUND(D6*8%,0)</f>
        <v>360796420</v>
      </c>
      <c r="F6" s="15">
        <f>E6+D6</f>
        <v>4870751666</v>
      </c>
      <c r="G6" s="17">
        <f>ROUND(D6*12.5%,0)</f>
        <v>563744406</v>
      </c>
      <c r="H6" s="17">
        <v>0</v>
      </c>
      <c r="I6" s="15">
        <f>ROUND(F6*5%,0)</f>
        <v>243537583</v>
      </c>
      <c r="J6" s="17">
        <f>ROUND(F6*0%,0)</f>
        <v>0</v>
      </c>
      <c r="K6" s="17">
        <f t="shared" ref="K6:K12" si="2">F6-(SUM(G6:J6))</f>
        <v>4063469677</v>
      </c>
    </row>
    <row r="7" spans="1:11">
      <c r="A7" s="2">
        <v>45805</v>
      </c>
      <c r="B7" s="12" t="s">
        <v>29</v>
      </c>
      <c r="C7" s="13" t="s">
        <v>41</v>
      </c>
      <c r="D7" s="18">
        <v>5521426628</v>
      </c>
      <c r="E7" s="15">
        <f>ROUND(D7*8%,0)</f>
        <v>441714130</v>
      </c>
      <c r="F7" s="15">
        <f>E7+D7</f>
        <v>5963140758</v>
      </c>
      <c r="G7" s="17">
        <f>ROUND(D7*12.5%,0)</f>
        <v>690178329</v>
      </c>
      <c r="H7" s="17">
        <v>0</v>
      </c>
      <c r="I7" s="15">
        <f>ROUND(F7*5%,0)</f>
        <v>298157038</v>
      </c>
      <c r="J7" s="17">
        <f>ROUND(F7*0%,0)</f>
        <v>0</v>
      </c>
      <c r="K7" s="17">
        <f t="shared" si="2"/>
        <v>4974805391</v>
      </c>
    </row>
    <row r="8" spans="1:11">
      <c r="A8" s="2">
        <v>45834</v>
      </c>
      <c r="B8" s="12" t="s">
        <v>30</v>
      </c>
      <c r="C8" s="13" t="s">
        <v>41</v>
      </c>
      <c r="D8" s="18">
        <v>6318169900</v>
      </c>
      <c r="E8" s="15">
        <f>ROUND(D8*8%,0)</f>
        <v>505453592</v>
      </c>
      <c r="F8" s="15">
        <f>E8+D8</f>
        <v>6823623492</v>
      </c>
      <c r="G8" s="17">
        <f>ROUND(D8*12.5%,0)</f>
        <v>789771238</v>
      </c>
      <c r="H8" s="17">
        <v>0</v>
      </c>
      <c r="I8" s="15">
        <f>ROUND(F8*5%,0)</f>
        <v>341181175</v>
      </c>
      <c r="J8" s="17">
        <f>ROUND(F8*0%,0)</f>
        <v>0</v>
      </c>
      <c r="K8" s="17">
        <f t="shared" si="2"/>
        <v>5692671079</v>
      </c>
    </row>
    <row r="9" spans="1:11">
      <c r="A9" s="2">
        <v>45864</v>
      </c>
      <c r="B9" s="12" t="s">
        <v>31</v>
      </c>
      <c r="C9" s="13" t="s">
        <v>41</v>
      </c>
      <c r="D9" s="18">
        <v>6412757393</v>
      </c>
      <c r="E9" s="15">
        <f>ROUND(D9*8%,0)</f>
        <v>513020591</v>
      </c>
      <c r="F9" s="15">
        <f>E9+D9</f>
        <v>6925777984</v>
      </c>
      <c r="G9" s="17">
        <f>ROUND(D9*12.5%,0)</f>
        <v>801594674</v>
      </c>
      <c r="H9" s="17">
        <v>0</v>
      </c>
      <c r="I9" s="15">
        <f>ROUND(F9*5%,0)</f>
        <v>346288899</v>
      </c>
      <c r="J9" s="17">
        <f>ROUND(F9*0%,0)</f>
        <v>0</v>
      </c>
      <c r="K9" s="17">
        <f t="shared" si="2"/>
        <v>5777894411</v>
      </c>
    </row>
    <row r="10" spans="1:11">
      <c r="A10" s="2">
        <v>45895</v>
      </c>
      <c r="B10" s="12" t="s">
        <v>32</v>
      </c>
      <c r="C10" s="13" t="s">
        <v>41</v>
      </c>
      <c r="D10" s="18">
        <v>4148339888</v>
      </c>
      <c r="E10" s="15">
        <v>331867191</v>
      </c>
      <c r="F10" s="15">
        <v>4480207079</v>
      </c>
      <c r="G10" s="17">
        <v>447926933</v>
      </c>
      <c r="H10" s="17">
        <v>116032812.40784417</v>
      </c>
      <c r="I10" s="15">
        <v>224010354</v>
      </c>
      <c r="J10" s="17">
        <v>0</v>
      </c>
      <c r="K10" s="17">
        <f t="shared" si="2"/>
        <v>3692236979.5921559</v>
      </c>
    </row>
    <row r="11" spans="1:11">
      <c r="A11" s="2">
        <v>45926</v>
      </c>
      <c r="B11" s="12" t="s">
        <v>33</v>
      </c>
      <c r="C11" s="13" t="s">
        <v>41</v>
      </c>
      <c r="D11" s="18">
        <v>4118517582</v>
      </c>
      <c r="E11" s="15">
        <f t="shared" ref="E11:E18" si="3">ROUND(D11*8%,0)</f>
        <v>329481407</v>
      </c>
      <c r="F11" s="15">
        <f t="shared" ref="F11:F18" si="4">E11+D11</f>
        <v>4447998989</v>
      </c>
      <c r="G11" s="17">
        <v>0</v>
      </c>
      <c r="H11" s="17">
        <v>30545535.199999999</v>
      </c>
      <c r="I11" s="15">
        <f t="shared" ref="I11:I18" si="5">ROUND(F11*5%,0)</f>
        <v>222399949</v>
      </c>
      <c r="J11" s="17">
        <f t="shared" ref="J11:J18" si="6">ROUND(F11*0%,0)</f>
        <v>0</v>
      </c>
      <c r="K11" s="17">
        <f t="shared" si="2"/>
        <v>4195053504.8000002</v>
      </c>
    </row>
    <row r="12" spans="1:11">
      <c r="A12" s="2">
        <v>45956</v>
      </c>
      <c r="B12" s="12" t="s">
        <v>34</v>
      </c>
      <c r="C12" s="13" t="s">
        <v>41</v>
      </c>
      <c r="D12" s="18">
        <v>6399770112</v>
      </c>
      <c r="E12" s="15">
        <f t="shared" si="3"/>
        <v>511981609</v>
      </c>
      <c r="F12" s="15">
        <f t="shared" si="4"/>
        <v>6911751721</v>
      </c>
      <c r="G12" s="17">
        <v>0</v>
      </c>
      <c r="H12" s="17">
        <v>41918121</v>
      </c>
      <c r="I12" s="15">
        <f t="shared" si="5"/>
        <v>345587586</v>
      </c>
      <c r="J12" s="17">
        <f t="shared" si="6"/>
        <v>0</v>
      </c>
      <c r="K12" s="17">
        <f t="shared" si="2"/>
        <v>6524246014</v>
      </c>
    </row>
    <row r="13" spans="1:11">
      <c r="A13" s="2">
        <v>45991</v>
      </c>
      <c r="B13" s="12" t="s">
        <v>35</v>
      </c>
      <c r="C13" s="13" t="s">
        <v>41</v>
      </c>
      <c r="D13" s="18">
        <v>4860985900</v>
      </c>
      <c r="E13" s="15">
        <f t="shared" si="3"/>
        <v>388878872</v>
      </c>
      <c r="F13" s="15">
        <f t="shared" si="4"/>
        <v>5249864772</v>
      </c>
      <c r="G13" s="17">
        <v>0</v>
      </c>
      <c r="H13" s="17">
        <v>43338456.093742616</v>
      </c>
      <c r="I13" s="15">
        <f t="shared" si="5"/>
        <v>262493239</v>
      </c>
      <c r="J13" s="17">
        <f t="shared" si="6"/>
        <v>0</v>
      </c>
      <c r="K13" s="17">
        <f t="shared" ref="K13:K18" si="7">F13-(SUM(G13:J13))</f>
        <v>4944033076.9062576</v>
      </c>
    </row>
    <row r="14" spans="1:11">
      <c r="A14" s="2">
        <v>46017</v>
      </c>
      <c r="B14" s="12" t="s">
        <v>36</v>
      </c>
      <c r="C14" s="13" t="s">
        <v>41</v>
      </c>
      <c r="D14" s="18">
        <v>9528825252</v>
      </c>
      <c r="E14" s="15">
        <f t="shared" si="3"/>
        <v>762306020</v>
      </c>
      <c r="F14" s="15">
        <f t="shared" si="4"/>
        <v>10291131272</v>
      </c>
      <c r="G14" s="17">
        <v>0</v>
      </c>
      <c r="H14" s="17">
        <v>63404996.064033061</v>
      </c>
      <c r="I14" s="15">
        <f t="shared" si="5"/>
        <v>514556564</v>
      </c>
      <c r="J14" s="17">
        <f t="shared" si="6"/>
        <v>0</v>
      </c>
      <c r="K14" s="17">
        <f t="shared" si="7"/>
        <v>9713169711.9359665</v>
      </c>
    </row>
    <row r="15" spans="1:11">
      <c r="A15" s="2">
        <v>46059</v>
      </c>
      <c r="B15" s="12" t="s">
        <v>37</v>
      </c>
      <c r="C15" s="13" t="s">
        <v>41</v>
      </c>
      <c r="D15" s="18">
        <v>5427107165</v>
      </c>
      <c r="E15" s="15">
        <f t="shared" si="3"/>
        <v>434168573</v>
      </c>
      <c r="F15" s="15">
        <f t="shared" si="4"/>
        <v>5861275738</v>
      </c>
      <c r="G15" s="17">
        <v>0</v>
      </c>
      <c r="H15" s="17">
        <v>266678719.35252997</v>
      </c>
      <c r="I15" s="15">
        <f t="shared" si="5"/>
        <v>293063787</v>
      </c>
      <c r="J15" s="17">
        <f t="shared" si="6"/>
        <v>0</v>
      </c>
      <c r="K15" s="17">
        <f t="shared" si="7"/>
        <v>5301533231.6474705</v>
      </c>
    </row>
    <row r="16" spans="1:11">
      <c r="A16" s="2">
        <v>46093</v>
      </c>
      <c r="B16" s="12" t="s">
        <v>38</v>
      </c>
      <c r="C16" s="13" t="s">
        <v>41</v>
      </c>
      <c r="D16" s="18">
        <v>1712598185</v>
      </c>
      <c r="E16" s="15">
        <f t="shared" si="3"/>
        <v>137007855</v>
      </c>
      <c r="F16" s="15">
        <f t="shared" si="4"/>
        <v>1849606040</v>
      </c>
      <c r="G16" s="17">
        <v>0</v>
      </c>
      <c r="H16" s="17">
        <v>39019533</v>
      </c>
      <c r="I16" s="15">
        <f t="shared" si="5"/>
        <v>92480302</v>
      </c>
      <c r="J16" s="17">
        <f t="shared" si="6"/>
        <v>0</v>
      </c>
      <c r="K16" s="17">
        <f t="shared" si="7"/>
        <v>1718106205</v>
      </c>
    </row>
    <row r="17" spans="1:11">
      <c r="A17" s="2">
        <v>46107</v>
      </c>
      <c r="B17" s="12" t="s">
        <v>39</v>
      </c>
      <c r="C17" s="13" t="s">
        <v>41</v>
      </c>
      <c r="D17" s="18">
        <v>654958490</v>
      </c>
      <c r="E17" s="15">
        <f t="shared" si="3"/>
        <v>52396679</v>
      </c>
      <c r="F17" s="15">
        <f t="shared" si="4"/>
        <v>707355169</v>
      </c>
      <c r="G17" s="17">
        <v>0</v>
      </c>
      <c r="H17" s="17">
        <v>43915321</v>
      </c>
      <c r="I17" s="15">
        <f t="shared" si="5"/>
        <v>35367758</v>
      </c>
      <c r="J17" s="17">
        <f t="shared" si="6"/>
        <v>0</v>
      </c>
      <c r="K17" s="17">
        <f t="shared" si="7"/>
        <v>628072090</v>
      </c>
    </row>
    <row r="18" spans="1:11">
      <c r="A18" s="2">
        <v>46213</v>
      </c>
      <c r="B18" s="12" t="s">
        <v>40</v>
      </c>
      <c r="C18" s="13" t="s">
        <v>41</v>
      </c>
      <c r="D18" s="18">
        <v>1167284620</v>
      </c>
      <c r="E18" s="15">
        <f t="shared" si="3"/>
        <v>93382770</v>
      </c>
      <c r="F18" s="15">
        <f t="shared" si="4"/>
        <v>1260667390</v>
      </c>
      <c r="G18" s="17">
        <v>0</v>
      </c>
      <c r="H18" s="17">
        <v>71830857</v>
      </c>
      <c r="I18" s="15">
        <f t="shared" si="5"/>
        <v>63033370</v>
      </c>
      <c r="J18" s="17">
        <f t="shared" si="6"/>
        <v>0</v>
      </c>
      <c r="K18" s="17">
        <f t="shared" si="7"/>
        <v>1125803163</v>
      </c>
    </row>
    <row r="19" spans="1:11">
      <c r="A19" s="39" t="s">
        <v>43</v>
      </c>
      <c r="B19" s="40"/>
      <c r="C19" s="30" t="s">
        <v>41</v>
      </c>
      <c r="D19" s="31">
        <f>SUBTOTAL(9,D3:D18)</f>
        <v>60780696361</v>
      </c>
      <c r="E19" s="31">
        <f t="shared" ref="E19:K19" si="8">SUBTOTAL(9,E3:E18)</f>
        <v>4862455709</v>
      </c>
      <c r="F19" s="31">
        <f t="shared" si="8"/>
        <v>65643152070</v>
      </c>
      <c r="G19" s="31">
        <f t="shared" si="8"/>
        <v>3293215580</v>
      </c>
      <c r="H19" s="31">
        <f t="shared" si="8"/>
        <v>716684351.11814988</v>
      </c>
      <c r="I19" s="31">
        <f t="shared" si="8"/>
        <v>3282157604</v>
      </c>
      <c r="J19" s="31">
        <f t="shared" si="8"/>
        <v>0</v>
      </c>
      <c r="K19" s="31">
        <f t="shared" si="8"/>
        <v>61644310114.881844</v>
      </c>
    </row>
    <row r="21" spans="1:11">
      <c r="G21"/>
    </row>
  </sheetData>
  <mergeCells count="2">
    <mergeCell ref="A19:B19"/>
    <mergeCell ref="A1:K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27A2-C3CF-4993-8BB4-DBD0EA490AEF}">
  <dimension ref="A1:O17"/>
  <sheetViews>
    <sheetView tabSelected="1" zoomScaleNormal="100" workbookViewId="0">
      <pane ySplit="1" topLeftCell="A2" activePane="bottomLeft" state="frozen"/>
      <selection pane="bottomLeft" activeCell="H21" sqref="H21"/>
    </sheetView>
  </sheetViews>
  <sheetFormatPr defaultRowHeight="15.6"/>
  <cols>
    <col min="1" max="1" width="11.21875" style="3" bestFit="1" customWidth="1"/>
    <col min="2" max="2" width="17.33203125" style="3" bestFit="1" customWidth="1"/>
    <col min="3" max="3" width="15.44140625" style="3" bestFit="1" customWidth="1"/>
    <col min="4" max="4" width="16.5546875" style="3" bestFit="1" customWidth="1"/>
    <col min="5" max="5" width="18.88671875" style="3" bestFit="1" customWidth="1"/>
    <col min="6" max="6" width="16.6640625" style="3" bestFit="1" customWidth="1"/>
    <col min="7" max="7" width="18.88671875" style="3" bestFit="1" customWidth="1"/>
    <col min="8" max="8" width="17.21875" style="3" bestFit="1" customWidth="1"/>
    <col min="9" max="10" width="12.5546875" style="3" bestFit="1" customWidth="1"/>
    <col min="11" max="11" width="15.44140625" style="3" bestFit="1" customWidth="1"/>
    <col min="12" max="12" width="17.21875" style="3" bestFit="1" customWidth="1"/>
    <col min="13" max="13" width="16.5546875" style="3" bestFit="1" customWidth="1"/>
    <col min="14" max="14" width="15.44140625" style="3" bestFit="1" customWidth="1"/>
    <col min="15" max="15" width="15.77734375" style="3" bestFit="1" customWidth="1"/>
    <col min="16" max="16" width="15.44140625" style="3" bestFit="1" customWidth="1"/>
    <col min="17" max="17" width="16.88671875" style="3" bestFit="1" customWidth="1"/>
    <col min="18" max="16384" width="8.88671875" style="3"/>
  </cols>
  <sheetData>
    <row r="1" spans="1:15" ht="18" customHeight="1">
      <c r="A1" s="38" t="s">
        <v>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5">
      <c r="A2" s="37" t="s">
        <v>11</v>
      </c>
      <c r="B2" s="37" t="s">
        <v>46</v>
      </c>
      <c r="C2" s="36" t="s">
        <v>44</v>
      </c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5" ht="66">
      <c r="A3" s="37"/>
      <c r="B3" s="37"/>
      <c r="C3" s="33" t="s">
        <v>1</v>
      </c>
      <c r="D3" s="33" t="s">
        <v>2</v>
      </c>
      <c r="E3" s="22" t="s">
        <v>0</v>
      </c>
      <c r="F3" s="33" t="s">
        <v>4</v>
      </c>
      <c r="G3" s="22" t="s">
        <v>3</v>
      </c>
      <c r="H3" s="33" t="s">
        <v>6</v>
      </c>
      <c r="I3" s="33" t="s">
        <v>7</v>
      </c>
      <c r="J3" s="33" t="s">
        <v>8</v>
      </c>
      <c r="K3" s="33" t="s">
        <v>9</v>
      </c>
      <c r="L3" s="22" t="s">
        <v>5</v>
      </c>
      <c r="M3" s="22" t="s">
        <v>10</v>
      </c>
      <c r="O3" s="20"/>
    </row>
    <row r="4" spans="1:15">
      <c r="A4" s="1"/>
      <c r="B4" s="23" t="s">
        <v>45</v>
      </c>
      <c r="C4" s="41">
        <v>3839031259</v>
      </c>
      <c r="D4" s="41">
        <v>53536458850</v>
      </c>
      <c r="E4" s="41">
        <f t="shared" ref="E4" si="0">C4+D4</f>
        <v>57375490109</v>
      </c>
      <c r="F4" s="41">
        <v>19889171</v>
      </c>
      <c r="G4" s="41">
        <f>F4</f>
        <v>19889171</v>
      </c>
      <c r="H4" s="41">
        <v>3116650400</v>
      </c>
      <c r="I4" s="41">
        <v>29355000</v>
      </c>
      <c r="J4" s="41">
        <v>68744439</v>
      </c>
      <c r="K4" s="41">
        <v>5413565154</v>
      </c>
      <c r="L4" s="41">
        <f>H4+I4+J4+K4</f>
        <v>8628314993</v>
      </c>
      <c r="M4" s="41">
        <f>E4+G4+L4</f>
        <v>66023694273</v>
      </c>
    </row>
    <row r="5" spans="1:15">
      <c r="A5" s="2">
        <v>45775</v>
      </c>
      <c r="B5" s="24" t="s">
        <v>28</v>
      </c>
      <c r="C5" s="4">
        <v>2773746786</v>
      </c>
      <c r="D5" s="4">
        <v>1244558197</v>
      </c>
      <c r="E5" s="32">
        <f t="shared" ref="E5:E17" si="1">C5+D5</f>
        <v>4018304983</v>
      </c>
      <c r="F5" s="4">
        <v>0</v>
      </c>
      <c r="G5" s="32">
        <f t="shared" ref="G5:G17" si="2">F5</f>
        <v>0</v>
      </c>
      <c r="H5" s="4">
        <v>491650263</v>
      </c>
      <c r="I5" s="4">
        <v>0</v>
      </c>
      <c r="J5" s="4">
        <v>0</v>
      </c>
      <c r="K5" s="4">
        <v>0</v>
      </c>
      <c r="L5" s="32">
        <f t="shared" ref="L5:L17" si="3">H5+I5+J5+K5</f>
        <v>491650263</v>
      </c>
      <c r="M5" s="26">
        <f t="shared" ref="M5:M17" si="4">E5+G5+L5</f>
        <v>4509955246</v>
      </c>
    </row>
    <row r="6" spans="1:15">
      <c r="A6" s="2">
        <v>45805</v>
      </c>
      <c r="B6" s="24" t="s">
        <v>29</v>
      </c>
      <c r="C6" s="4">
        <v>739767406</v>
      </c>
      <c r="D6" s="4">
        <v>4289989393</v>
      </c>
      <c r="E6" s="32">
        <f t="shared" si="1"/>
        <v>5029756799</v>
      </c>
      <c r="F6" s="4">
        <v>0</v>
      </c>
      <c r="G6" s="32">
        <f t="shared" si="2"/>
        <v>0</v>
      </c>
      <c r="H6" s="4">
        <v>491669829</v>
      </c>
      <c r="I6" s="4">
        <v>0</v>
      </c>
      <c r="J6" s="4">
        <v>0</v>
      </c>
      <c r="K6" s="4">
        <v>0</v>
      </c>
      <c r="L6" s="32">
        <f t="shared" si="3"/>
        <v>491669829</v>
      </c>
      <c r="M6" s="26">
        <f t="shared" si="4"/>
        <v>5521426628</v>
      </c>
    </row>
    <row r="7" spans="1:15">
      <c r="A7" s="2">
        <v>45834</v>
      </c>
      <c r="B7" s="24" t="s">
        <v>30</v>
      </c>
      <c r="C7" s="4">
        <v>0</v>
      </c>
      <c r="D7" s="4">
        <v>6173811700</v>
      </c>
      <c r="E7" s="32">
        <f t="shared" si="1"/>
        <v>6173811700</v>
      </c>
      <c r="F7" s="4">
        <v>0</v>
      </c>
      <c r="G7" s="32">
        <f t="shared" si="2"/>
        <v>0</v>
      </c>
      <c r="H7" s="4">
        <v>144358200</v>
      </c>
      <c r="I7" s="4">
        <v>0</v>
      </c>
      <c r="J7" s="4">
        <v>0</v>
      </c>
      <c r="K7" s="4">
        <v>0</v>
      </c>
      <c r="L7" s="32">
        <f t="shared" si="3"/>
        <v>144358200</v>
      </c>
      <c r="M7" s="26">
        <f t="shared" si="4"/>
        <v>6318169900</v>
      </c>
    </row>
    <row r="8" spans="1:15">
      <c r="A8" s="2">
        <v>45864</v>
      </c>
      <c r="B8" s="24" t="s">
        <v>31</v>
      </c>
      <c r="C8" s="4">
        <v>62129240</v>
      </c>
      <c r="D8" s="4">
        <v>6296296800</v>
      </c>
      <c r="E8" s="32">
        <f t="shared" si="1"/>
        <v>6358426040</v>
      </c>
      <c r="F8" s="4">
        <v>0</v>
      </c>
      <c r="G8" s="32">
        <f t="shared" si="2"/>
        <v>0</v>
      </c>
      <c r="H8" s="4">
        <v>31381353</v>
      </c>
      <c r="I8" s="4">
        <v>0</v>
      </c>
      <c r="J8" s="4">
        <v>22950000</v>
      </c>
      <c r="K8" s="4">
        <v>0</v>
      </c>
      <c r="L8" s="32">
        <f t="shared" si="3"/>
        <v>54331353</v>
      </c>
      <c r="M8" s="26">
        <f t="shared" si="4"/>
        <v>6412757393</v>
      </c>
    </row>
    <row r="9" spans="1:15">
      <c r="A9" s="2">
        <v>45895</v>
      </c>
      <c r="B9" s="24" t="s">
        <v>32</v>
      </c>
      <c r="C9" s="4">
        <v>115090330</v>
      </c>
      <c r="D9" s="4">
        <v>3991547125</v>
      </c>
      <c r="E9" s="32">
        <f t="shared" si="1"/>
        <v>4106637455</v>
      </c>
      <c r="F9" s="4">
        <v>0</v>
      </c>
      <c r="G9" s="32">
        <f t="shared" si="2"/>
        <v>0</v>
      </c>
      <c r="H9" s="4">
        <v>41702433</v>
      </c>
      <c r="I9" s="4">
        <v>0</v>
      </c>
      <c r="J9" s="4">
        <v>0</v>
      </c>
      <c r="K9" s="4">
        <v>0</v>
      </c>
      <c r="L9" s="32">
        <f t="shared" si="3"/>
        <v>41702433</v>
      </c>
      <c r="M9" s="26">
        <f t="shared" si="4"/>
        <v>4148339888</v>
      </c>
    </row>
    <row r="10" spans="1:15">
      <c r="A10" s="2">
        <v>45926</v>
      </c>
      <c r="B10" s="24" t="s">
        <v>33</v>
      </c>
      <c r="C10" s="4">
        <v>3052500</v>
      </c>
      <c r="D10" s="4">
        <v>3870955900</v>
      </c>
      <c r="E10" s="32">
        <f t="shared" si="1"/>
        <v>3874008400</v>
      </c>
      <c r="F10" s="4">
        <v>0</v>
      </c>
      <c r="G10" s="32">
        <f t="shared" si="2"/>
        <v>0</v>
      </c>
      <c r="H10" s="4">
        <v>28379250</v>
      </c>
      <c r="I10" s="4">
        <v>0</v>
      </c>
      <c r="J10" s="4">
        <v>10225500</v>
      </c>
      <c r="K10" s="4">
        <v>205904432</v>
      </c>
      <c r="L10" s="32">
        <f t="shared" si="3"/>
        <v>244509182</v>
      </c>
      <c r="M10" s="26">
        <f t="shared" si="4"/>
        <v>4118517582</v>
      </c>
    </row>
    <row r="11" spans="1:15">
      <c r="A11" s="2">
        <v>45956</v>
      </c>
      <c r="B11" s="24" t="s">
        <v>34</v>
      </c>
      <c r="C11" s="4">
        <v>10612800</v>
      </c>
      <c r="D11" s="4">
        <v>4861349575</v>
      </c>
      <c r="E11" s="32">
        <f t="shared" si="1"/>
        <v>4871962375</v>
      </c>
      <c r="F11" s="4">
        <v>0</v>
      </c>
      <c r="G11" s="32">
        <f t="shared" si="2"/>
        <v>0</v>
      </c>
      <c r="H11" s="4">
        <v>14624206</v>
      </c>
      <c r="I11" s="4">
        <v>0</v>
      </c>
      <c r="J11" s="4">
        <v>13247250</v>
      </c>
      <c r="K11" s="4">
        <v>1499936281</v>
      </c>
      <c r="L11" s="32">
        <f t="shared" si="3"/>
        <v>1527807737</v>
      </c>
      <c r="M11" s="26">
        <f t="shared" si="4"/>
        <v>6399770112</v>
      </c>
    </row>
    <row r="12" spans="1:15">
      <c r="A12" s="2">
        <v>45991</v>
      </c>
      <c r="B12" s="24" t="s">
        <v>35</v>
      </c>
      <c r="C12" s="4">
        <v>12134100</v>
      </c>
      <c r="D12" s="4">
        <v>4835812800</v>
      </c>
      <c r="E12" s="32">
        <f t="shared" si="1"/>
        <v>4847946900</v>
      </c>
      <c r="F12" s="4">
        <v>0</v>
      </c>
      <c r="G12" s="32">
        <f t="shared" si="2"/>
        <v>0</v>
      </c>
      <c r="H12" s="4">
        <v>0</v>
      </c>
      <c r="I12" s="4">
        <v>0</v>
      </c>
      <c r="J12" s="4">
        <v>13039000</v>
      </c>
      <c r="K12" s="4">
        <v>0</v>
      </c>
      <c r="L12" s="32">
        <f t="shared" si="3"/>
        <v>13039000</v>
      </c>
      <c r="M12" s="26">
        <f t="shared" si="4"/>
        <v>4860985900</v>
      </c>
    </row>
    <row r="13" spans="1:15">
      <c r="A13" s="2">
        <v>46017</v>
      </c>
      <c r="B13" s="24" t="s">
        <v>36</v>
      </c>
      <c r="C13" s="4">
        <v>0</v>
      </c>
      <c r="D13" s="4">
        <v>8405568000</v>
      </c>
      <c r="E13" s="32">
        <f t="shared" si="1"/>
        <v>8405568000</v>
      </c>
      <c r="F13" s="4">
        <v>26872950</v>
      </c>
      <c r="G13" s="32">
        <f t="shared" si="2"/>
        <v>26872950</v>
      </c>
      <c r="H13" s="4">
        <v>32000000</v>
      </c>
      <c r="I13" s="4">
        <v>0</v>
      </c>
      <c r="J13" s="4">
        <v>0</v>
      </c>
      <c r="K13" s="4">
        <v>1064384302</v>
      </c>
      <c r="L13" s="32">
        <f t="shared" si="3"/>
        <v>1096384302</v>
      </c>
      <c r="M13" s="26">
        <f t="shared" si="4"/>
        <v>9528825252</v>
      </c>
    </row>
    <row r="14" spans="1:15">
      <c r="A14" s="2">
        <v>46059</v>
      </c>
      <c r="B14" s="24" t="s">
        <v>37</v>
      </c>
      <c r="C14" s="4">
        <v>0</v>
      </c>
      <c r="D14" s="4">
        <v>4809211475</v>
      </c>
      <c r="E14" s="32">
        <f t="shared" si="1"/>
        <v>4809211475</v>
      </c>
      <c r="F14" s="4">
        <v>91191350</v>
      </c>
      <c r="G14" s="32">
        <f t="shared" si="2"/>
        <v>91191350</v>
      </c>
      <c r="H14" s="4">
        <v>32000000</v>
      </c>
      <c r="I14" s="4">
        <v>0</v>
      </c>
      <c r="J14" s="4">
        <v>15087500</v>
      </c>
      <c r="K14" s="4">
        <v>479616840</v>
      </c>
      <c r="L14" s="32">
        <f t="shared" si="3"/>
        <v>526704340</v>
      </c>
      <c r="M14" s="26">
        <f t="shared" si="4"/>
        <v>5427107165</v>
      </c>
    </row>
    <row r="15" spans="1:15">
      <c r="A15" s="2">
        <v>46093</v>
      </c>
      <c r="B15" s="24" t="s">
        <v>38</v>
      </c>
      <c r="C15" s="4">
        <v>0</v>
      </c>
      <c r="D15" s="4">
        <v>1497605450</v>
      </c>
      <c r="E15" s="32">
        <f t="shared" si="1"/>
        <v>1497605450</v>
      </c>
      <c r="F15" s="4">
        <v>0</v>
      </c>
      <c r="G15" s="32">
        <f t="shared" si="2"/>
        <v>0</v>
      </c>
      <c r="H15" s="4">
        <v>0</v>
      </c>
      <c r="I15" s="4">
        <v>0</v>
      </c>
      <c r="J15" s="4">
        <v>0</v>
      </c>
      <c r="K15" s="4">
        <v>214992735</v>
      </c>
      <c r="L15" s="32">
        <f t="shared" si="3"/>
        <v>214992735</v>
      </c>
      <c r="M15" s="26">
        <f t="shared" si="4"/>
        <v>1712598185</v>
      </c>
    </row>
    <row r="16" spans="1:15">
      <c r="A16" s="2">
        <v>46107</v>
      </c>
      <c r="B16" s="24" t="s">
        <v>39</v>
      </c>
      <c r="C16" s="4">
        <v>0</v>
      </c>
      <c r="D16" s="4">
        <v>595188450</v>
      </c>
      <c r="E16" s="32">
        <f t="shared" si="1"/>
        <v>595188450</v>
      </c>
      <c r="F16" s="4">
        <v>9341100</v>
      </c>
      <c r="G16" s="32">
        <f t="shared" si="2"/>
        <v>9341100</v>
      </c>
      <c r="H16" s="4">
        <v>31500000</v>
      </c>
      <c r="I16" s="4">
        <v>0</v>
      </c>
      <c r="J16" s="4">
        <v>0</v>
      </c>
      <c r="K16" s="4">
        <v>18928940</v>
      </c>
      <c r="L16" s="32">
        <f t="shared" si="3"/>
        <v>50428940</v>
      </c>
      <c r="M16" s="26">
        <f t="shared" si="4"/>
        <v>654958490</v>
      </c>
    </row>
    <row r="17" spans="1:13">
      <c r="A17" s="21">
        <v>46213</v>
      </c>
      <c r="B17" s="25" t="s">
        <v>40</v>
      </c>
      <c r="C17" s="4">
        <v>0</v>
      </c>
      <c r="D17" s="4">
        <v>674699425</v>
      </c>
      <c r="E17" s="32">
        <f t="shared" si="1"/>
        <v>674699425</v>
      </c>
      <c r="F17" s="4">
        <v>90457150</v>
      </c>
      <c r="G17" s="32">
        <f t="shared" si="2"/>
        <v>90457150</v>
      </c>
      <c r="H17" s="4">
        <v>0</v>
      </c>
      <c r="I17" s="4">
        <v>4970000</v>
      </c>
      <c r="J17" s="4">
        <v>0</v>
      </c>
      <c r="K17" s="4">
        <v>397157045</v>
      </c>
      <c r="L17" s="32">
        <f t="shared" si="3"/>
        <v>402127045</v>
      </c>
      <c r="M17" s="26">
        <f t="shared" si="4"/>
        <v>1167283620</v>
      </c>
    </row>
  </sheetData>
  <mergeCells count="4">
    <mergeCell ref="C2:M2"/>
    <mergeCell ref="A2:A3"/>
    <mergeCell ref="B2:B3"/>
    <mergeCell ref="A1:M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</vt:lpstr>
      <vt:lpstr>PP</vt:lpstr>
      <vt:lpstr>VWC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84582</dc:creator>
  <cp:lastModifiedBy>blackchocolate.icecream@gmail.com</cp:lastModifiedBy>
  <dcterms:created xsi:type="dcterms:W3CDTF">2015-06-05T18:17:20Z</dcterms:created>
  <dcterms:modified xsi:type="dcterms:W3CDTF">2026-10-29T03:10:25Z</dcterms:modified>
</cp:coreProperties>
</file>